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charts/chart2.xml" ContentType="application/vnd.openxmlformats-officedocument.drawingml.chart+xml"/>
  <Override PartName="/xl/pivotTables/pivotTable1.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Production_Data" sheetId="3" r:id="rId1"/>
    <sheet name="Analysis" sheetId="2" r:id="rId2"/>
    <sheet name="Unit_Performance_Summary" sheetId="4" r:id="rId3"/>
  </sheets>
  <calcPr calcId="124519"/>
  <pivotCaches>
    <pivotCache cacheId="2" r:id="rId4"/>
  </pivotCaches>
</workbook>
</file>

<file path=xl/calcChain.xml><?xml version="1.0" encoding="utf-8"?>
<calcChain xmlns="http://schemas.openxmlformats.org/spreadsheetml/2006/main">
  <c r="B9" i="2"/>
  <c r="B8"/>
  <c r="B7"/>
  <c r="B6"/>
  <c r="B5"/>
  <c r="B4"/>
  <c r="H2" i="3"/>
  <c r="H3"/>
  <c r="H4"/>
  <c r="H5"/>
  <c r="H6"/>
  <c r="H7"/>
  <c r="H8"/>
  <c r="H9"/>
  <c r="H10"/>
  <c r="H11"/>
  <c r="H12"/>
  <c r="H13"/>
  <c r="H14"/>
  <c r="H15"/>
  <c r="H16"/>
  <c r="H17"/>
  <c r="H18"/>
  <c r="H19"/>
  <c r="H20"/>
  <c r="H21"/>
  <c r="G2"/>
  <c r="G3"/>
  <c r="G4"/>
  <c r="G5"/>
  <c r="G6"/>
  <c r="G7"/>
  <c r="G8"/>
  <c r="G9"/>
  <c r="G10"/>
  <c r="G11"/>
  <c r="G12"/>
  <c r="G13"/>
  <c r="G14"/>
  <c r="G15"/>
  <c r="G16"/>
  <c r="G17"/>
  <c r="G18"/>
  <c r="G19"/>
  <c r="G20"/>
  <c r="G21"/>
</calcChain>
</file>

<file path=xl/sharedStrings.xml><?xml version="1.0" encoding="utf-8"?>
<sst xmlns="http://schemas.openxmlformats.org/spreadsheetml/2006/main" count="66" uniqueCount="40">
  <si>
    <t>Date</t>
  </si>
  <si>
    <t>Unit</t>
  </si>
  <si>
    <t>Feed (tonnes)</t>
  </si>
  <si>
    <t>Product (tonnes)</t>
  </si>
  <si>
    <t>Energy (GJ)</t>
  </si>
  <si>
    <t>Downtime (hours)</t>
  </si>
  <si>
    <t>Unit A</t>
  </si>
  <si>
    <t>Unit B</t>
  </si>
  <si>
    <t>Energy Intensity (GJ/t)</t>
  </si>
  <si>
    <t>Total Feed</t>
  </si>
  <si>
    <t>Total Product</t>
  </si>
  <si>
    <t>Average Yield</t>
  </si>
  <si>
    <t>Total Energy</t>
  </si>
  <si>
    <t>Average Energy Intensity</t>
  </si>
  <si>
    <t>Total Downtime</t>
  </si>
  <si>
    <t>Chemical Plant KPI Summary</t>
  </si>
  <si>
    <t>Yield (%)</t>
  </si>
  <si>
    <t>Row Labels</t>
  </si>
  <si>
    <t>Grand Total</t>
  </si>
  <si>
    <t>Sum of Feed (tonnes)</t>
  </si>
  <si>
    <t>Values</t>
  </si>
  <si>
    <t>Sum of Product (tonnes)</t>
  </si>
  <si>
    <t>Sum of Energy (GJ)</t>
  </si>
  <si>
    <t>Average of Yield (%)</t>
  </si>
  <si>
    <t>Average of Energy Intensity (GJ/t)</t>
  </si>
  <si>
    <t>Average Yield (%)</t>
  </si>
  <si>
    <t xml:space="preserve">Average Yield by Unit
</t>
  </si>
  <si>
    <t xml:space="preserve">Charts
</t>
  </si>
  <si>
    <t>Average Energy Intensity by Unit</t>
  </si>
  <si>
    <t>Average Energy Intensity (GJ/t)</t>
  </si>
  <si>
    <t xml:space="preserve">KPI
</t>
  </si>
  <si>
    <t xml:space="preserve">Value
</t>
  </si>
  <si>
    <t xml:space="preserve">Day 01 — Key Findings
</t>
  </si>
  <si>
    <r>
      <t xml:space="preserve">Unit B processed more feed than Unit A — 1,410 t compared with 1,239 t.
Unit B produced more product — 1,290 t compared with 1,118 t.
Unit B had a higher average yield — 91.48% compared with 90.22%.
Unit B had a lower average energy intensity — 3.17 GJ/t compared with 3.22 GJ/t.
</t>
    </r>
    <r>
      <rPr>
        <b/>
        <sz val="11"/>
        <color theme="4" tint="-0.249977111117893"/>
        <rFont val="Times New Roman"/>
        <family val="1"/>
      </rPr>
      <t xml:space="preserve">Although Unit B consumed more total energy, its lower energy intensity suggests better energy efficiency relative to product output.
</t>
    </r>
  </si>
  <si>
    <t>Total energy consumption alone should not be used to compare energy efficiency between units because the units processed different quantities of feed. Energy intensity provides a more meaningful normalized comparison.</t>
  </si>
  <si>
    <t>How to structure engineering data in an Excel Table
How to calculate yield
How to calculate energy intensity
How to use SUM and AVERAGE
How to use structured table references
How to create a PivotTable
How to change a PivotTable value from Sum to Average
How to create charts from a selected analysis table
Why normalized KPIs can be more useful than raw totals</t>
  </si>
  <si>
    <t xml:space="preserve">What I'd Investigate Next
</t>
  </si>
  <si>
    <t xml:space="preserve">What I Learned
</t>
  </si>
  <si>
    <r>
      <rPr>
        <b/>
        <sz val="14"/>
        <color theme="1"/>
        <rFont val="Times New Roman"/>
        <family val="1"/>
      </rPr>
      <t>Next Questions???</t>
    </r>
    <r>
      <rPr>
        <sz val="11"/>
        <color theme="1"/>
        <rFont val="Times New Roman"/>
        <family val="1"/>
      </rPr>
      <t xml:space="preserve">
Why does Unit B have a slightly higher yield?
What causes the difference in energy intensity?
Does downtime affect yield?
Does higher production rate affect energy intensity?
Are there particular days where either unit performs unusually poorly?
Would the conclusions change if a longer period of plant data were analysed?</t>
    </r>
  </si>
  <si>
    <t xml:space="preserve">UNIT PERFORMANCE SUMMARY
</t>
  </si>
</sst>
</file>

<file path=xl/styles.xml><?xml version="1.0" encoding="utf-8"?>
<styleSheet xmlns="http://schemas.openxmlformats.org/spreadsheetml/2006/main">
  <numFmts count="1">
    <numFmt numFmtId="164" formatCode="0.0"/>
  </numFmts>
  <fonts count="8">
    <font>
      <sz val="11"/>
      <color theme="1"/>
      <name val="Calibri"/>
      <family val="2"/>
      <scheme val="minor"/>
    </font>
    <font>
      <b/>
      <sz val="11"/>
      <color theme="1"/>
      <name val="Times New Roman"/>
      <family val="1"/>
    </font>
    <font>
      <sz val="11"/>
      <color theme="1"/>
      <name val="Times New Roman"/>
      <family val="1"/>
    </font>
    <font>
      <b/>
      <sz val="11"/>
      <color theme="4" tint="-0.249977111117893"/>
      <name val="Times New Roman"/>
      <family val="1"/>
    </font>
    <font>
      <b/>
      <sz val="12"/>
      <color theme="1"/>
      <name val="Times New Roman"/>
      <family val="1"/>
    </font>
    <font>
      <b/>
      <sz val="14"/>
      <color theme="1"/>
      <name val="Times New Roman"/>
      <family val="1"/>
    </font>
    <font>
      <b/>
      <sz val="18"/>
      <color theme="0"/>
      <name val="Times New Roman"/>
      <family val="1"/>
    </font>
    <font>
      <b/>
      <sz val="16"/>
      <color theme="0"/>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40">
    <xf numFmtId="0" fontId="0" fillId="0" borderId="0" xfId="0"/>
    <xf numFmtId="0" fontId="1" fillId="0" borderId="0" xfId="0" applyFont="1" applyAlignment="1">
      <alignment horizontal="center" vertical="center" wrapText="1"/>
    </xf>
    <xf numFmtId="0" fontId="1" fillId="0" borderId="0" xfId="0" applyFont="1" applyAlignment="1">
      <alignment horizontal="right" vertical="center" wrapText="1"/>
    </xf>
    <xf numFmtId="0" fontId="2" fillId="0" borderId="0" xfId="0" applyFont="1"/>
    <xf numFmtId="15" fontId="2" fillId="0" borderId="0" xfId="0" applyNumberFormat="1" applyFont="1" applyAlignment="1">
      <alignment wrapText="1"/>
    </xf>
    <xf numFmtId="0" fontId="2" fillId="0" borderId="0" xfId="0" applyFont="1" applyAlignment="1">
      <alignment wrapText="1"/>
    </xf>
    <xf numFmtId="0" fontId="2" fillId="0" borderId="0" xfId="0" applyFont="1" applyAlignment="1">
      <alignment horizontal="right" wrapText="1"/>
    </xf>
    <xf numFmtId="2" fontId="2" fillId="0" borderId="0" xfId="0" applyNumberFormat="1" applyFont="1" applyAlignment="1">
      <alignment horizontal="right" wrapText="1"/>
    </xf>
    <xf numFmtId="0" fontId="2" fillId="0" borderId="0" xfId="0" applyFont="1" applyAlignment="1">
      <alignment vertical="center"/>
    </xf>
    <xf numFmtId="2" fontId="2" fillId="0" borderId="0" xfId="0" applyNumberFormat="1" applyFont="1" applyAlignment="1">
      <alignment horizontal="center" vertical="center" wrapText="1"/>
    </xf>
    <xf numFmtId="0" fontId="2" fillId="0" borderId="1" xfId="0" applyFont="1" applyBorder="1" applyAlignment="1">
      <alignment vertical="center" wrapText="1"/>
    </xf>
    <xf numFmtId="164" fontId="2" fillId="0" borderId="1" xfId="0" applyNumberFormat="1" applyFont="1" applyBorder="1" applyAlignment="1">
      <alignment vertical="center" wrapText="1"/>
    </xf>
    <xf numFmtId="2" fontId="2" fillId="0" borderId="1" xfId="0" applyNumberFormat="1" applyFont="1" applyBorder="1" applyAlignment="1">
      <alignment vertical="center" wrapText="1"/>
    </xf>
    <xf numFmtId="0" fontId="1"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horizontal="right" wrapText="1"/>
    </xf>
    <xf numFmtId="0" fontId="1" fillId="0" borderId="1" xfId="0" applyFont="1" applyBorder="1" applyAlignment="1">
      <alignment wrapText="1"/>
    </xf>
    <xf numFmtId="0" fontId="1" fillId="0" borderId="1" xfId="0" applyFont="1" applyBorder="1" applyAlignment="1">
      <alignment horizontal="left" wrapText="1"/>
    </xf>
    <xf numFmtId="0" fontId="1" fillId="2" borderId="1" xfId="0" applyFont="1" applyFill="1" applyBorder="1" applyAlignment="1">
      <alignment horizontal="center" vertical="center" wrapText="1"/>
    </xf>
    <xf numFmtId="0" fontId="2" fillId="0" borderId="0" xfId="0" applyFont="1" applyAlignment="1">
      <alignment horizontal="left" vertical="top"/>
    </xf>
    <xf numFmtId="0" fontId="2" fillId="0" borderId="0" xfId="0" pivotButton="1" applyFont="1"/>
    <xf numFmtId="0" fontId="2" fillId="0" borderId="1" xfId="0" pivotButton="1" applyFont="1" applyBorder="1"/>
    <xf numFmtId="0" fontId="2" fillId="0" borderId="1" xfId="0" applyFont="1" applyBorder="1"/>
    <xf numFmtId="0" fontId="2" fillId="0" borderId="1" xfId="0" applyFont="1" applyBorder="1" applyAlignment="1">
      <alignment horizontal="left"/>
    </xf>
    <xf numFmtId="0" fontId="2" fillId="0" borderId="1" xfId="0" applyNumberFormat="1" applyFont="1" applyBorder="1"/>
    <xf numFmtId="2" fontId="2" fillId="0" borderId="1" xfId="0" applyNumberFormat="1" applyFont="1" applyBorder="1"/>
    <xf numFmtId="0" fontId="6" fillId="3" borderId="0" xfId="0" applyFont="1" applyFill="1" applyAlignment="1">
      <alignment horizontal="left"/>
    </xf>
    <xf numFmtId="0" fontId="6"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2" xfId="0" applyFont="1" applyFill="1" applyBorder="1" applyAlignment="1">
      <alignment horizontal="left" vertical="center" wrapText="1"/>
    </xf>
    <xf numFmtId="0" fontId="1" fillId="2" borderId="1" xfId="0" applyFont="1" applyFill="1" applyBorder="1" applyAlignment="1">
      <alignment horizontal="left" wrapText="1"/>
    </xf>
    <xf numFmtId="0" fontId="1" fillId="2" borderId="1" xfId="0" applyFont="1" applyFill="1" applyBorder="1" applyAlignment="1">
      <alignment horizontal="left" vertical="top" wrapText="1"/>
    </xf>
    <xf numFmtId="0" fontId="2" fillId="0" borderId="0" xfId="0" applyFont="1" applyBorder="1" applyAlignment="1">
      <alignment horizontal="left" vertical="center" wrapText="1"/>
    </xf>
    <xf numFmtId="0" fontId="7" fillId="3" borderId="3"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4"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applyAlignment="1">
      <alignment horizontal="left" vertical="top"/>
    </xf>
    <xf numFmtId="0" fontId="6" fillId="3" borderId="0" xfId="0" applyFont="1" applyFill="1" applyAlignment="1">
      <alignment horizontal="left" vertical="top" wrapText="1"/>
    </xf>
    <xf numFmtId="0" fontId="6" fillId="3" borderId="0" xfId="0" applyFont="1" applyFill="1" applyAlignment="1">
      <alignment horizontal="left" vertical="top"/>
    </xf>
  </cellXfs>
  <cellStyles count="1">
    <cellStyle name="Normal" xfId="0" builtinId="0"/>
  </cellStyles>
  <dxfs count="1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scheme val="none"/>
      </font>
    </dxf>
    <dxf>
      <numFmt numFmtId="2" formatCode="0.00"/>
    </dxf>
    <dxf>
      <font>
        <strike val="0"/>
        <outline val="0"/>
        <shadow val="0"/>
        <u val="none"/>
        <vertAlign val="baseline"/>
        <sz val="11"/>
        <color theme="1"/>
        <name val="Times New Roman"/>
        <scheme val="none"/>
      </font>
      <numFmt numFmtId="2" formatCode="0.00"/>
      <alignment horizontal="right" vertical="bottom" textRotation="0" wrapText="1" indent="0" relativeIndent="0" justifyLastLine="0" shrinkToFit="0" mergeCell="0" readingOrder="0"/>
    </dxf>
    <dxf>
      <font>
        <strike val="0"/>
        <outline val="0"/>
        <shadow val="0"/>
        <u val="none"/>
        <vertAlign val="baseline"/>
        <sz val="11"/>
        <color theme="1"/>
        <name val="Times New Roman"/>
        <scheme val="none"/>
      </font>
      <numFmt numFmtId="2" formatCode="0.00"/>
      <alignment horizontal="right" vertical="bottom" textRotation="0" wrapText="1" indent="0" relativeIndent="0" justifyLastLine="0" shrinkToFit="0" mergeCell="0" readingOrder="0"/>
    </dxf>
    <dxf>
      <font>
        <strike val="0"/>
        <outline val="0"/>
        <shadow val="0"/>
        <u val="none"/>
        <vertAlign val="baseline"/>
        <sz val="11"/>
        <color theme="1"/>
        <name val="Times New Roman"/>
        <scheme val="none"/>
      </font>
      <alignment horizontal="right" vertical="bottom" textRotation="0" wrapText="1" indent="0" relativeIndent="0" justifyLastLine="0" shrinkToFit="0" mergeCell="0" readingOrder="0"/>
    </dxf>
    <dxf>
      <font>
        <strike val="0"/>
        <outline val="0"/>
        <shadow val="0"/>
        <u val="none"/>
        <vertAlign val="baseline"/>
        <sz val="11"/>
        <color theme="1"/>
        <name val="Times New Roman"/>
        <scheme val="none"/>
      </font>
      <alignment horizontal="right" vertical="bottom" textRotation="0" wrapText="1" indent="0" relativeIndent="0" justifyLastLine="0" shrinkToFit="0" mergeCell="0" readingOrder="0"/>
    </dxf>
    <dxf>
      <font>
        <strike val="0"/>
        <outline val="0"/>
        <shadow val="0"/>
        <u val="none"/>
        <vertAlign val="baseline"/>
        <sz val="11"/>
        <color theme="1"/>
        <name val="Times New Roman"/>
        <scheme val="none"/>
      </font>
      <alignment horizontal="right" vertical="bottom" textRotation="0" wrapText="1" indent="0" relativeIndent="0" justifyLastLine="0" shrinkToFit="0" mergeCell="0" readingOrder="0"/>
    </dxf>
    <dxf>
      <font>
        <strike val="0"/>
        <outline val="0"/>
        <shadow val="0"/>
        <u val="none"/>
        <vertAlign val="baseline"/>
        <sz val="11"/>
        <color theme="1"/>
        <name val="Times New Roman"/>
        <scheme val="none"/>
      </font>
      <alignment horizontal="right" vertical="bottom" textRotation="0" wrapText="1" indent="0" relativeIndent="0" justifyLastLine="0" shrinkToFit="0" mergeCell="0" readingOrder="0"/>
    </dxf>
    <dxf>
      <font>
        <strike val="0"/>
        <outline val="0"/>
        <shadow val="0"/>
        <u val="none"/>
        <vertAlign val="baseline"/>
        <sz val="11"/>
        <color theme="1"/>
        <name val="Times New Roman"/>
        <scheme val="none"/>
      </font>
      <alignment horizontal="general" vertical="bottom" textRotation="0" wrapText="1" indent="0" relativeIndent="0" justifyLastLine="0" shrinkToFit="0" mergeCell="0" readingOrder="0"/>
    </dxf>
    <dxf>
      <font>
        <strike val="0"/>
        <outline val="0"/>
        <shadow val="0"/>
        <u val="none"/>
        <vertAlign val="baseline"/>
        <sz val="11"/>
        <color theme="1"/>
        <name val="Times New Roman"/>
        <scheme val="none"/>
      </font>
      <numFmt numFmtId="20" formatCode="d\-mmm\-yy"/>
      <alignment horizontal="general" vertical="bottom" textRotation="0" wrapText="1" indent="0" relativeIndent="0" justifyLastLine="0" shrinkToFit="0" mergeCell="0" readingOrder="0"/>
    </dxf>
    <dxf>
      <font>
        <strike val="0"/>
        <outline val="0"/>
        <shadow val="0"/>
        <u val="none"/>
        <vertAlign val="baseline"/>
        <sz val="11"/>
        <color theme="1"/>
        <name val="Times New Roman"/>
        <scheme val="none"/>
      </font>
      <alignment horizontal="right" vertical="bottom" textRotation="0" wrapText="1" indent="0" relativeIndent="0" justifyLastLine="0" shrinkToFit="0" mergeCell="0" readingOrder="0"/>
    </dxf>
    <dxf>
      <font>
        <b/>
        <i val="0"/>
        <strike val="0"/>
        <condense val="0"/>
        <extend val="0"/>
        <outline val="0"/>
        <shadow val="0"/>
        <u val="none"/>
        <vertAlign val="baseline"/>
        <sz val="11"/>
        <color theme="1"/>
        <name val="Times New Roman"/>
        <scheme val="none"/>
      </font>
      <alignment horizontal="right" vertical="center" textRotation="0" wrapText="1"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latin typeface="Times New Roman" pitchFamily="18" charset="0"/>
                <a:cs typeface="Times New Roman" pitchFamily="18" charset="0"/>
              </a:defRPr>
            </a:pPr>
            <a:r>
              <a:rPr lang="en-US" sz="1400" b="1" i="0" u="none" strike="noStrike" baseline="0">
                <a:latin typeface="Times New Roman" pitchFamily="18" charset="0"/>
                <a:cs typeface="Times New Roman" pitchFamily="18" charset="0"/>
              </a:rPr>
              <a:t>Average Yield by Unit</a:t>
            </a:r>
            <a:endParaRPr lang="en-US" sz="1400">
              <a:latin typeface="Times New Roman" pitchFamily="18" charset="0"/>
              <a:cs typeface="Times New Roman" pitchFamily="18" charset="0"/>
            </a:endParaRPr>
          </a:p>
        </c:rich>
      </c:tx>
      <c:layout/>
    </c:title>
    <c:plotArea>
      <c:layout/>
      <c:barChart>
        <c:barDir val="col"/>
        <c:grouping val="clustered"/>
        <c:ser>
          <c:idx val="0"/>
          <c:order val="0"/>
          <c:tx>
            <c:strRef>
              <c:f>Analysis!$B$13</c:f>
              <c:strCache>
                <c:ptCount val="1"/>
                <c:pt idx="0">
                  <c:v>Average Yield (%)</c:v>
                </c:pt>
              </c:strCache>
            </c:strRef>
          </c:tx>
          <c:cat>
            <c:strRef>
              <c:f>Analysis!$A$14:$A$15</c:f>
              <c:strCache>
                <c:ptCount val="2"/>
                <c:pt idx="0">
                  <c:v>Unit A</c:v>
                </c:pt>
                <c:pt idx="1">
                  <c:v>Unit B</c:v>
                </c:pt>
              </c:strCache>
            </c:strRef>
          </c:cat>
          <c:val>
            <c:numRef>
              <c:f>Analysis!$B$14:$B$15</c:f>
              <c:numCache>
                <c:formatCode>General</c:formatCode>
                <c:ptCount val="2"/>
                <c:pt idx="0">
                  <c:v>90.22</c:v>
                </c:pt>
                <c:pt idx="1">
                  <c:v>91.48</c:v>
                </c:pt>
              </c:numCache>
            </c:numRef>
          </c:val>
        </c:ser>
        <c:axId val="92496640"/>
        <c:axId val="92498176"/>
      </c:barChart>
      <c:catAx>
        <c:axId val="92496640"/>
        <c:scaling>
          <c:orientation val="minMax"/>
        </c:scaling>
        <c:axPos val="b"/>
        <c:tickLblPos val="nextTo"/>
        <c:txPr>
          <a:bodyPr/>
          <a:lstStyle/>
          <a:p>
            <a:pPr>
              <a:defRPr>
                <a:latin typeface="Times New Roman" pitchFamily="18" charset="0"/>
                <a:cs typeface="Times New Roman" pitchFamily="18" charset="0"/>
              </a:defRPr>
            </a:pPr>
            <a:endParaRPr lang="en-US"/>
          </a:p>
        </c:txPr>
        <c:crossAx val="92498176"/>
        <c:crosses val="autoZero"/>
        <c:auto val="1"/>
        <c:lblAlgn val="ctr"/>
        <c:lblOffset val="100"/>
      </c:catAx>
      <c:valAx>
        <c:axId val="92498176"/>
        <c:scaling>
          <c:orientation val="minMax"/>
        </c:scaling>
        <c:axPos val="l"/>
        <c:majorGridlines/>
        <c:numFmt formatCode="General" sourceLinked="1"/>
        <c:tickLblPos val="nextTo"/>
        <c:txPr>
          <a:bodyPr/>
          <a:lstStyle/>
          <a:p>
            <a:pPr>
              <a:defRPr>
                <a:latin typeface="Times New Roman" pitchFamily="18" charset="0"/>
                <a:cs typeface="Times New Roman" pitchFamily="18" charset="0"/>
              </a:defRPr>
            </a:pPr>
            <a:endParaRPr lang="en-US"/>
          </a:p>
        </c:txPr>
        <c:crossAx val="92496640"/>
        <c:crosses val="autoZero"/>
        <c:crossBetween val="between"/>
      </c:valAx>
    </c:plotArea>
    <c:legend>
      <c:legendPos val="r"/>
      <c:layout/>
      <c:txPr>
        <a:bodyPr/>
        <a:lstStyle/>
        <a:p>
          <a:pPr>
            <a:defRPr>
              <a:latin typeface="Times New Roman" pitchFamily="18" charset="0"/>
              <a:cs typeface="Times New Roman" pitchFamily="18" charset="0"/>
            </a:defRPr>
          </a:pPr>
          <a:endParaRPr lang="en-US"/>
        </a:p>
      </c:txPr>
    </c:legend>
    <c:plotVisOnly val="1"/>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sz="1600" b="1" i="0" u="none" strike="noStrike" baseline="0">
                <a:latin typeface="Times New Roman" pitchFamily="18" charset="0"/>
                <a:cs typeface="Times New Roman" pitchFamily="18" charset="0"/>
              </a:rPr>
              <a:t>Average Energy Intensity by Unit</a:t>
            </a:r>
            <a:endParaRPr lang="en-US" sz="1600">
              <a:latin typeface="Times New Roman" pitchFamily="18" charset="0"/>
              <a:cs typeface="Times New Roman" pitchFamily="18" charset="0"/>
            </a:endParaRPr>
          </a:p>
        </c:rich>
      </c:tx>
      <c:layout/>
    </c:title>
    <c:plotArea>
      <c:layout/>
      <c:barChart>
        <c:barDir val="col"/>
        <c:grouping val="clustered"/>
        <c:ser>
          <c:idx val="0"/>
          <c:order val="0"/>
          <c:tx>
            <c:strRef>
              <c:f>Analysis!$B$20</c:f>
              <c:strCache>
                <c:ptCount val="1"/>
                <c:pt idx="0">
                  <c:v>Average Energy Intensity (GJ/t)</c:v>
                </c:pt>
              </c:strCache>
            </c:strRef>
          </c:tx>
          <c:cat>
            <c:strRef>
              <c:f>Analysis!$A$21:$A$22</c:f>
              <c:strCache>
                <c:ptCount val="2"/>
                <c:pt idx="0">
                  <c:v>Unit A</c:v>
                </c:pt>
                <c:pt idx="1">
                  <c:v>Unit B</c:v>
                </c:pt>
              </c:strCache>
            </c:strRef>
          </c:cat>
          <c:val>
            <c:numRef>
              <c:f>Analysis!$B$21:$B$22</c:f>
              <c:numCache>
                <c:formatCode>General</c:formatCode>
                <c:ptCount val="2"/>
                <c:pt idx="0">
                  <c:v>3.22</c:v>
                </c:pt>
                <c:pt idx="1">
                  <c:v>3.17</c:v>
                </c:pt>
              </c:numCache>
            </c:numRef>
          </c:val>
        </c:ser>
        <c:axId val="92526464"/>
        <c:axId val="92528000"/>
      </c:barChart>
      <c:catAx>
        <c:axId val="92526464"/>
        <c:scaling>
          <c:orientation val="minMax"/>
        </c:scaling>
        <c:axPos val="b"/>
        <c:tickLblPos val="nextTo"/>
        <c:txPr>
          <a:bodyPr/>
          <a:lstStyle/>
          <a:p>
            <a:pPr>
              <a:defRPr>
                <a:latin typeface="Times New Roman" pitchFamily="18" charset="0"/>
                <a:cs typeface="Times New Roman" pitchFamily="18" charset="0"/>
              </a:defRPr>
            </a:pPr>
            <a:endParaRPr lang="en-US"/>
          </a:p>
        </c:txPr>
        <c:crossAx val="92528000"/>
        <c:crosses val="autoZero"/>
        <c:auto val="1"/>
        <c:lblAlgn val="ctr"/>
        <c:lblOffset val="100"/>
      </c:catAx>
      <c:valAx>
        <c:axId val="92528000"/>
        <c:scaling>
          <c:orientation val="minMax"/>
        </c:scaling>
        <c:axPos val="l"/>
        <c:majorGridlines/>
        <c:numFmt formatCode="General" sourceLinked="1"/>
        <c:tickLblPos val="nextTo"/>
        <c:txPr>
          <a:bodyPr/>
          <a:lstStyle/>
          <a:p>
            <a:pPr>
              <a:defRPr>
                <a:latin typeface="Times New Roman" pitchFamily="18" charset="0"/>
                <a:cs typeface="Times New Roman" pitchFamily="18" charset="0"/>
              </a:defRPr>
            </a:pPr>
            <a:endParaRPr lang="en-US"/>
          </a:p>
        </c:txPr>
        <c:crossAx val="92526464"/>
        <c:crosses val="autoZero"/>
        <c:crossBetween val="between"/>
      </c:valAx>
    </c:plotArea>
    <c:legend>
      <c:legendPos val="r"/>
      <c:layout/>
      <c:txPr>
        <a:bodyPr/>
        <a:lstStyle/>
        <a:p>
          <a:pPr>
            <a:defRPr>
              <a:latin typeface="Times New Roman" pitchFamily="18" charset="0"/>
              <a:cs typeface="Times New Roman" pitchFamily="18" charset="0"/>
            </a:defRPr>
          </a:pPr>
          <a:endParaRPr lang="en-US"/>
        </a:p>
      </c:txPr>
    </c:legend>
    <c:plotVisOnly val="1"/>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400050</xdr:colOff>
      <xdr:row>11</xdr:row>
      <xdr:rowOff>228600</xdr:rowOff>
    </xdr:from>
    <xdr:to>
      <xdr:col>9</xdr:col>
      <xdr:colOff>19050</xdr:colOff>
      <xdr:row>21</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352424</xdr:colOff>
      <xdr:row>11</xdr:row>
      <xdr:rowOff>200024</xdr:rowOff>
    </xdr:from>
    <xdr:to>
      <xdr:col>15</xdr:col>
      <xdr:colOff>561975</xdr:colOff>
      <xdr:row>21</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99.786025231479" createdVersion="3" refreshedVersion="3" minRefreshableVersion="3" recordCount="20">
  <cacheSource type="worksheet">
    <worksheetSource name="PlantData"/>
  </cacheSource>
  <cacheFields count="8">
    <cacheField name="Date" numFmtId="15">
      <sharedItems containsSemiMixedTypes="0" containsNonDate="0" containsDate="1" containsString="0" minDate="2026-01-01T00:00:00" maxDate="2026-01-21T00:00:00"/>
    </cacheField>
    <cacheField name="Unit" numFmtId="0">
      <sharedItems count="2">
        <s v="Unit A"/>
        <s v="Unit B"/>
      </sharedItems>
    </cacheField>
    <cacheField name="Feed (tonnes)" numFmtId="0">
      <sharedItems containsSemiMixedTypes="0" containsString="0" containsNumber="1" containsInteger="1" minValue="118" maxValue="148"/>
    </cacheField>
    <cacheField name="Product (tonnes)" numFmtId="0">
      <sharedItems containsSemiMixedTypes="0" containsString="0" containsNumber="1" containsInteger="1" minValue="105" maxValue="136"/>
    </cacheField>
    <cacheField name="Energy (GJ)" numFmtId="0">
      <sharedItems containsSemiMixedTypes="0" containsString="0" containsNumber="1" containsInteger="1" minValue="350" maxValue="425"/>
    </cacheField>
    <cacheField name="Downtime (hours)" numFmtId="0">
      <sharedItems containsSemiMixedTypes="0" containsString="0" containsNumber="1" minValue="0.5" maxValue="2.2999999999999998"/>
    </cacheField>
    <cacheField name="Yield (%)" numFmtId="2">
      <sharedItems containsSemiMixedTypes="0" containsString="0" containsNumber="1" minValue="88.983050847457619" maxValue="91.891891891891902"/>
    </cacheField>
    <cacheField name="Energy Intensity (GJ/t)" numFmtId="2">
      <sharedItems containsSemiMixedTypes="0" containsString="0" containsNumber="1" minValue="3.125" maxValue="3.3809523809523809"/>
    </cacheField>
  </cacheFields>
</pivotCacheDefinition>
</file>

<file path=xl/pivotCache/pivotCacheRecords1.xml><?xml version="1.0" encoding="utf-8"?>
<pivotCacheRecords xmlns="http://schemas.openxmlformats.org/spreadsheetml/2006/main" xmlns:r="http://schemas.openxmlformats.org/officeDocument/2006/relationships" count="20">
  <r>
    <d v="2026-01-01T00:00:00"/>
    <x v="0"/>
    <n v="120"/>
    <n v="108"/>
    <n v="350"/>
    <n v="1.2"/>
    <n v="90"/>
    <n v="3.2407407407407409"/>
  </r>
  <r>
    <d v="2026-01-02T00:00:00"/>
    <x v="0"/>
    <n v="125"/>
    <n v="113"/>
    <n v="360"/>
    <n v="0.8"/>
    <n v="90.4"/>
    <n v="3.1858407079646018"/>
  </r>
  <r>
    <d v="2026-01-03T00:00:00"/>
    <x v="0"/>
    <n v="118"/>
    <n v="105"/>
    <n v="355"/>
    <n v="2.1"/>
    <n v="88.983050847457619"/>
    <n v="3.3809523809523809"/>
  </r>
  <r>
    <d v="2026-01-04T00:00:00"/>
    <x v="0"/>
    <n v="122"/>
    <n v="110"/>
    <n v="352"/>
    <n v="1.5"/>
    <n v="90.163934426229503"/>
    <n v="3.2"/>
  </r>
  <r>
    <d v="2026-01-05T00:00:00"/>
    <x v="0"/>
    <n v="128"/>
    <n v="116"/>
    <n v="370"/>
    <n v="0.6"/>
    <n v="90.625"/>
    <n v="3.1896551724137931"/>
  </r>
  <r>
    <d v="2026-01-06T00:00:00"/>
    <x v="1"/>
    <n v="135"/>
    <n v="124"/>
    <n v="390"/>
    <n v="1"/>
    <n v="91.851851851851848"/>
    <n v="3.1451612903225805"/>
  </r>
  <r>
    <d v="2026-01-07T00:00:00"/>
    <x v="1"/>
    <n v="140"/>
    <n v="128"/>
    <n v="405"/>
    <n v="0.6"/>
    <n v="91.428571428571431"/>
    <n v="3.1640625"/>
  </r>
  <r>
    <d v="2026-01-08T00:00:00"/>
    <x v="1"/>
    <n v="138"/>
    <n v="126"/>
    <n v="400"/>
    <n v="1.8"/>
    <n v="91.304347826086953"/>
    <n v="3.1746031746031744"/>
  </r>
  <r>
    <d v="2026-01-09T00:00:00"/>
    <x v="1"/>
    <n v="142"/>
    <n v="130"/>
    <n v="410"/>
    <n v="0.9"/>
    <n v="91.549295774647888"/>
    <n v="3.1538461538461537"/>
  </r>
  <r>
    <d v="2026-01-10T00:00:00"/>
    <x v="1"/>
    <n v="136"/>
    <n v="123"/>
    <n v="398"/>
    <n v="2.2999999999999998"/>
    <n v="90.441176470588232"/>
    <n v="3.2357723577235773"/>
  </r>
  <r>
    <d v="2026-01-11T00:00:00"/>
    <x v="0"/>
    <n v="130"/>
    <n v="118"/>
    <n v="375"/>
    <n v="0.7"/>
    <n v="90.769230769230774"/>
    <n v="3.1779661016949152"/>
  </r>
  <r>
    <d v="2026-01-12T00:00:00"/>
    <x v="0"/>
    <n v="126"/>
    <n v="114"/>
    <n v="365"/>
    <n v="1.1000000000000001"/>
    <n v="90.476190476190482"/>
    <n v="3.2017543859649122"/>
  </r>
  <r>
    <d v="2026-01-13T00:00:00"/>
    <x v="0"/>
    <n v="119"/>
    <n v="107"/>
    <n v="350"/>
    <n v="1.9"/>
    <n v="89.915966386554629"/>
    <n v="3.2710280373831777"/>
  </r>
  <r>
    <d v="2026-01-14T00:00:00"/>
    <x v="1"/>
    <n v="145"/>
    <n v="133"/>
    <n v="420"/>
    <n v="0.5"/>
    <n v="91.724137931034477"/>
    <n v="3.1578947368421053"/>
  </r>
  <r>
    <d v="2026-01-15T00:00:00"/>
    <x v="1"/>
    <n v="148"/>
    <n v="136"/>
    <n v="425"/>
    <n v="0.7"/>
    <n v="91.891891891891902"/>
    <n v="3.125"/>
  </r>
  <r>
    <d v="2026-01-16T00:00:00"/>
    <x v="1"/>
    <n v="139"/>
    <n v="127"/>
    <n v="402"/>
    <n v="1.4"/>
    <n v="91.366906474820141"/>
    <n v="3.1653543307086616"/>
  </r>
  <r>
    <d v="2026-01-17T00:00:00"/>
    <x v="0"/>
    <n v="124"/>
    <n v="112"/>
    <n v="358"/>
    <n v="1.3"/>
    <n v="90.322580645161281"/>
    <n v="3.1964285714285716"/>
  </r>
  <r>
    <d v="2026-01-18T00:00:00"/>
    <x v="0"/>
    <n v="127"/>
    <n v="115"/>
    <n v="362"/>
    <n v="0.9"/>
    <n v="90.551181102362193"/>
    <n v="3.1478260869565218"/>
  </r>
  <r>
    <d v="2026-01-19T00:00:00"/>
    <x v="1"/>
    <n v="141"/>
    <n v="129"/>
    <n v="415"/>
    <n v="1.2"/>
    <n v="91.489361702127653"/>
    <n v="3.2170542635658914"/>
  </r>
  <r>
    <d v="2026-01-20T00:00:00"/>
    <x v="1"/>
    <n v="146"/>
    <n v="134"/>
    <n v="422"/>
    <n v="0.8"/>
    <n v="91.780821917808225"/>
    <n v="3.14925373134328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5">
  <location ref="A3:F7" firstHeaderRow="1" firstDataRow="2" firstDataCol="1"/>
  <pivotFields count="8">
    <pivotField numFmtId="15" showAll="0"/>
    <pivotField axis="axisRow" showAll="0">
      <items count="3">
        <item x="0"/>
        <item x="1"/>
        <item t="default"/>
      </items>
    </pivotField>
    <pivotField dataField="1" showAll="0"/>
    <pivotField dataField="1" showAll="0"/>
    <pivotField dataField="1" showAll="0"/>
    <pivotField showAll="0"/>
    <pivotField dataField="1" numFmtId="2" showAll="0"/>
    <pivotField dataField="1" numFmtId="2" showAll="0"/>
  </pivotFields>
  <rowFields count="1">
    <field x="1"/>
  </rowFields>
  <rowItems count="3">
    <i>
      <x/>
    </i>
    <i>
      <x v="1"/>
    </i>
    <i t="grand">
      <x/>
    </i>
  </rowItems>
  <colFields count="1">
    <field x="-2"/>
  </colFields>
  <colItems count="5">
    <i>
      <x/>
    </i>
    <i i="1">
      <x v="1"/>
    </i>
    <i i="2">
      <x v="2"/>
    </i>
    <i i="3">
      <x v="3"/>
    </i>
    <i i="4">
      <x v="4"/>
    </i>
  </colItems>
  <dataFields count="5">
    <dataField name="Sum of Feed (tonnes)" fld="2" baseField="0" baseItem="0"/>
    <dataField name="Sum of Product (tonnes)" fld="3" baseField="0" baseItem="0"/>
    <dataField name="Sum of Energy (GJ)" fld="4" baseField="0" baseItem="0"/>
    <dataField name="Average of Yield (%)" fld="6" subtotal="average" baseField="0" baseItem="0" numFmtId="2"/>
    <dataField name="Average of Energy Intensity (GJ/t)" fld="7" subtotal="average" baseField="0" baseItem="0" numFmtId="2"/>
  </dataFields>
  <formats count="7">
    <format dxfId="6">
      <pivotArea outline="0" collapsedLevelsAreSubtotals="1" fieldPosition="0">
        <references count="1">
          <reference field="4294967294" count="2" selected="0">
            <x v="3"/>
            <x v="4"/>
          </reference>
        </references>
      </pivotArea>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PlantData" displayName="PlantData" ref="A1:H21" totalsRowShown="0" headerRowDxfId="16" dataDxfId="15">
  <tableColumns count="8">
    <tableColumn id="1" name="Date" dataDxfId="14"/>
    <tableColumn id="2" name="Unit" dataDxfId="13"/>
    <tableColumn id="3" name="Feed (tonnes)" dataDxfId="12"/>
    <tableColumn id="4" name="Product (tonnes)" dataDxfId="11"/>
    <tableColumn id="5" name="Energy (GJ)" dataDxfId="10"/>
    <tableColumn id="6" name="Downtime (hours)" dataDxfId="9"/>
    <tableColumn id="7" name="Yield (%)" dataDxfId="8">
      <calculatedColumnFormula>D2/C2*100</calculatedColumnFormula>
    </tableColumn>
    <tableColumn id="8" name="Energy Intensity (GJ/t)" dataDxfId="7">
      <calculatedColumnFormula>E2/D2</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sheetPr>
    <tabColor rgb="FF92D050"/>
  </sheetPr>
  <dimension ref="A1:H21"/>
  <sheetViews>
    <sheetView tabSelected="1" topLeftCell="A4" zoomScale="115" zoomScaleNormal="115" workbookViewId="0">
      <selection activeCell="J20" sqref="J20"/>
    </sheetView>
  </sheetViews>
  <sheetFormatPr defaultRowHeight="15"/>
  <cols>
    <col min="1" max="1" width="9.85546875" style="3" bestFit="1" customWidth="1"/>
    <col min="2" max="2" width="9.140625" style="3"/>
    <col min="3" max="3" width="15.5703125" style="3" customWidth="1"/>
    <col min="4" max="4" width="18" style="3" customWidth="1"/>
    <col min="5" max="5" width="13.140625" style="3" customWidth="1"/>
    <col min="6" max="6" width="19.28515625" style="3" customWidth="1"/>
    <col min="7" max="7" width="12.85546875" style="3" customWidth="1"/>
    <col min="8" max="8" width="20.42578125" style="3" customWidth="1"/>
    <col min="9" max="16384" width="9.140625" style="3"/>
  </cols>
  <sheetData>
    <row r="1" spans="1:8" ht="28.5">
      <c r="A1" s="1" t="s">
        <v>0</v>
      </c>
      <c r="B1" s="1" t="s">
        <v>1</v>
      </c>
      <c r="C1" s="2" t="s">
        <v>2</v>
      </c>
      <c r="D1" s="2" t="s">
        <v>3</v>
      </c>
      <c r="E1" s="2" t="s">
        <v>4</v>
      </c>
      <c r="F1" s="2" t="s">
        <v>5</v>
      </c>
      <c r="G1" s="1" t="s">
        <v>16</v>
      </c>
      <c r="H1" s="1" t="s">
        <v>8</v>
      </c>
    </row>
    <row r="2" spans="1:8">
      <c r="A2" s="4">
        <v>46023</v>
      </c>
      <c r="B2" s="5" t="s">
        <v>6</v>
      </c>
      <c r="C2" s="6">
        <v>120</v>
      </c>
      <c r="D2" s="6">
        <v>108</v>
      </c>
      <c r="E2" s="6">
        <v>350</v>
      </c>
      <c r="F2" s="6">
        <v>1.2</v>
      </c>
      <c r="G2" s="9">
        <f t="shared" ref="G2:G21" si="0">D2/C2*100</f>
        <v>90</v>
      </c>
      <c r="H2" s="7">
        <f t="shared" ref="H2:H21" si="1">E2/D2</f>
        <v>3.2407407407407409</v>
      </c>
    </row>
    <row r="3" spans="1:8">
      <c r="A3" s="4">
        <v>46024</v>
      </c>
      <c r="B3" s="5" t="s">
        <v>6</v>
      </c>
      <c r="C3" s="6">
        <v>125</v>
      </c>
      <c r="D3" s="6">
        <v>113</v>
      </c>
      <c r="E3" s="6">
        <v>360</v>
      </c>
      <c r="F3" s="6">
        <v>0.8</v>
      </c>
      <c r="G3" s="7">
        <f t="shared" si="0"/>
        <v>90.4</v>
      </c>
      <c r="H3" s="7">
        <f t="shared" si="1"/>
        <v>3.1858407079646018</v>
      </c>
    </row>
    <row r="4" spans="1:8">
      <c r="A4" s="4">
        <v>46025</v>
      </c>
      <c r="B4" s="5" t="s">
        <v>6</v>
      </c>
      <c r="C4" s="6">
        <v>118</v>
      </c>
      <c r="D4" s="6">
        <v>105</v>
      </c>
      <c r="E4" s="6">
        <v>355</v>
      </c>
      <c r="F4" s="6">
        <v>2.1</v>
      </c>
      <c r="G4" s="7">
        <f t="shared" si="0"/>
        <v>88.983050847457619</v>
      </c>
      <c r="H4" s="7">
        <f t="shared" si="1"/>
        <v>3.3809523809523809</v>
      </c>
    </row>
    <row r="5" spans="1:8">
      <c r="A5" s="4">
        <v>46026</v>
      </c>
      <c r="B5" s="5" t="s">
        <v>6</v>
      </c>
      <c r="C5" s="6">
        <v>122</v>
      </c>
      <c r="D5" s="6">
        <v>110</v>
      </c>
      <c r="E5" s="6">
        <v>352</v>
      </c>
      <c r="F5" s="6">
        <v>1.5</v>
      </c>
      <c r="G5" s="7">
        <f t="shared" si="0"/>
        <v>90.163934426229503</v>
      </c>
      <c r="H5" s="7">
        <f t="shared" si="1"/>
        <v>3.2</v>
      </c>
    </row>
    <row r="6" spans="1:8">
      <c r="A6" s="4">
        <v>46027</v>
      </c>
      <c r="B6" s="5" t="s">
        <v>6</v>
      </c>
      <c r="C6" s="6">
        <v>128</v>
      </c>
      <c r="D6" s="6">
        <v>116</v>
      </c>
      <c r="E6" s="6">
        <v>370</v>
      </c>
      <c r="F6" s="6">
        <v>0.6</v>
      </c>
      <c r="G6" s="7">
        <f t="shared" si="0"/>
        <v>90.625</v>
      </c>
      <c r="H6" s="7">
        <f t="shared" si="1"/>
        <v>3.1896551724137931</v>
      </c>
    </row>
    <row r="7" spans="1:8">
      <c r="A7" s="4">
        <v>46028</v>
      </c>
      <c r="B7" s="5" t="s">
        <v>7</v>
      </c>
      <c r="C7" s="6">
        <v>135</v>
      </c>
      <c r="D7" s="6">
        <v>124</v>
      </c>
      <c r="E7" s="6">
        <v>390</v>
      </c>
      <c r="F7" s="6">
        <v>1</v>
      </c>
      <c r="G7" s="7">
        <f t="shared" si="0"/>
        <v>91.851851851851848</v>
      </c>
      <c r="H7" s="7">
        <f t="shared" si="1"/>
        <v>3.1451612903225805</v>
      </c>
    </row>
    <row r="8" spans="1:8">
      <c r="A8" s="4">
        <v>46029</v>
      </c>
      <c r="B8" s="5" t="s">
        <v>7</v>
      </c>
      <c r="C8" s="6">
        <v>140</v>
      </c>
      <c r="D8" s="6">
        <v>128</v>
      </c>
      <c r="E8" s="6">
        <v>405</v>
      </c>
      <c r="F8" s="6">
        <v>0.6</v>
      </c>
      <c r="G8" s="7">
        <f t="shared" si="0"/>
        <v>91.428571428571431</v>
      </c>
      <c r="H8" s="7">
        <f t="shared" si="1"/>
        <v>3.1640625</v>
      </c>
    </row>
    <row r="9" spans="1:8">
      <c r="A9" s="4">
        <v>46030</v>
      </c>
      <c r="B9" s="5" t="s">
        <v>7</v>
      </c>
      <c r="C9" s="6">
        <v>138</v>
      </c>
      <c r="D9" s="6">
        <v>126</v>
      </c>
      <c r="E9" s="6">
        <v>400</v>
      </c>
      <c r="F9" s="6">
        <v>1.8</v>
      </c>
      <c r="G9" s="7">
        <f t="shared" si="0"/>
        <v>91.304347826086953</v>
      </c>
      <c r="H9" s="7">
        <f t="shared" si="1"/>
        <v>3.1746031746031744</v>
      </c>
    </row>
    <row r="10" spans="1:8">
      <c r="A10" s="4">
        <v>46031</v>
      </c>
      <c r="B10" s="5" t="s">
        <v>7</v>
      </c>
      <c r="C10" s="6">
        <v>142</v>
      </c>
      <c r="D10" s="6">
        <v>130</v>
      </c>
      <c r="E10" s="6">
        <v>410</v>
      </c>
      <c r="F10" s="6">
        <v>0.9</v>
      </c>
      <c r="G10" s="7">
        <f t="shared" si="0"/>
        <v>91.549295774647888</v>
      </c>
      <c r="H10" s="7">
        <f t="shared" si="1"/>
        <v>3.1538461538461537</v>
      </c>
    </row>
    <row r="11" spans="1:8">
      <c r="A11" s="4">
        <v>46032</v>
      </c>
      <c r="B11" s="5" t="s">
        <v>7</v>
      </c>
      <c r="C11" s="6">
        <v>136</v>
      </c>
      <c r="D11" s="6">
        <v>123</v>
      </c>
      <c r="E11" s="6">
        <v>398</v>
      </c>
      <c r="F11" s="6">
        <v>2.2999999999999998</v>
      </c>
      <c r="G11" s="7">
        <f t="shared" si="0"/>
        <v>90.441176470588232</v>
      </c>
      <c r="H11" s="7">
        <f t="shared" si="1"/>
        <v>3.2357723577235773</v>
      </c>
    </row>
    <row r="12" spans="1:8">
      <c r="A12" s="4">
        <v>46033</v>
      </c>
      <c r="B12" s="5" t="s">
        <v>6</v>
      </c>
      <c r="C12" s="6">
        <v>130</v>
      </c>
      <c r="D12" s="6">
        <v>118</v>
      </c>
      <c r="E12" s="6">
        <v>375</v>
      </c>
      <c r="F12" s="6">
        <v>0.7</v>
      </c>
      <c r="G12" s="7">
        <f t="shared" si="0"/>
        <v>90.769230769230774</v>
      </c>
      <c r="H12" s="7">
        <f t="shared" si="1"/>
        <v>3.1779661016949152</v>
      </c>
    </row>
    <row r="13" spans="1:8">
      <c r="A13" s="4">
        <v>46034</v>
      </c>
      <c r="B13" s="5" t="s">
        <v>6</v>
      </c>
      <c r="C13" s="6">
        <v>126</v>
      </c>
      <c r="D13" s="6">
        <v>114</v>
      </c>
      <c r="E13" s="6">
        <v>365</v>
      </c>
      <c r="F13" s="6">
        <v>1.1000000000000001</v>
      </c>
      <c r="G13" s="7">
        <f t="shared" si="0"/>
        <v>90.476190476190482</v>
      </c>
      <c r="H13" s="7">
        <f t="shared" si="1"/>
        <v>3.2017543859649122</v>
      </c>
    </row>
    <row r="14" spans="1:8">
      <c r="A14" s="4">
        <v>46035</v>
      </c>
      <c r="B14" s="5" t="s">
        <v>6</v>
      </c>
      <c r="C14" s="6">
        <v>119</v>
      </c>
      <c r="D14" s="6">
        <v>107</v>
      </c>
      <c r="E14" s="6">
        <v>350</v>
      </c>
      <c r="F14" s="6">
        <v>1.9</v>
      </c>
      <c r="G14" s="7">
        <f t="shared" si="0"/>
        <v>89.915966386554629</v>
      </c>
      <c r="H14" s="7">
        <f t="shared" si="1"/>
        <v>3.2710280373831777</v>
      </c>
    </row>
    <row r="15" spans="1:8">
      <c r="A15" s="4">
        <v>46036</v>
      </c>
      <c r="B15" s="5" t="s">
        <v>7</v>
      </c>
      <c r="C15" s="6">
        <v>145</v>
      </c>
      <c r="D15" s="6">
        <v>133</v>
      </c>
      <c r="E15" s="6">
        <v>420</v>
      </c>
      <c r="F15" s="6">
        <v>0.5</v>
      </c>
      <c r="G15" s="7">
        <f t="shared" si="0"/>
        <v>91.724137931034477</v>
      </c>
      <c r="H15" s="7">
        <f t="shared" si="1"/>
        <v>3.1578947368421053</v>
      </c>
    </row>
    <row r="16" spans="1:8">
      <c r="A16" s="4">
        <v>46037</v>
      </c>
      <c r="B16" s="5" t="s">
        <v>7</v>
      </c>
      <c r="C16" s="6">
        <v>148</v>
      </c>
      <c r="D16" s="6">
        <v>136</v>
      </c>
      <c r="E16" s="6">
        <v>425</v>
      </c>
      <c r="F16" s="6">
        <v>0.7</v>
      </c>
      <c r="G16" s="7">
        <f t="shared" si="0"/>
        <v>91.891891891891902</v>
      </c>
      <c r="H16" s="7">
        <f t="shared" si="1"/>
        <v>3.125</v>
      </c>
    </row>
    <row r="17" spans="1:8">
      <c r="A17" s="4">
        <v>46038</v>
      </c>
      <c r="B17" s="5" t="s">
        <v>7</v>
      </c>
      <c r="C17" s="6">
        <v>139</v>
      </c>
      <c r="D17" s="6">
        <v>127</v>
      </c>
      <c r="E17" s="6">
        <v>402</v>
      </c>
      <c r="F17" s="6">
        <v>1.4</v>
      </c>
      <c r="G17" s="7">
        <f t="shared" si="0"/>
        <v>91.366906474820141</v>
      </c>
      <c r="H17" s="7">
        <f t="shared" si="1"/>
        <v>3.1653543307086616</v>
      </c>
    </row>
    <row r="18" spans="1:8">
      <c r="A18" s="4">
        <v>46039</v>
      </c>
      <c r="B18" s="5" t="s">
        <v>6</v>
      </c>
      <c r="C18" s="6">
        <v>124</v>
      </c>
      <c r="D18" s="6">
        <v>112</v>
      </c>
      <c r="E18" s="6">
        <v>358</v>
      </c>
      <c r="F18" s="6">
        <v>1.3</v>
      </c>
      <c r="G18" s="7">
        <f t="shared" si="0"/>
        <v>90.322580645161281</v>
      </c>
      <c r="H18" s="7">
        <f t="shared" si="1"/>
        <v>3.1964285714285716</v>
      </c>
    </row>
    <row r="19" spans="1:8">
      <c r="A19" s="4">
        <v>46040</v>
      </c>
      <c r="B19" s="5" t="s">
        <v>6</v>
      </c>
      <c r="C19" s="6">
        <v>127</v>
      </c>
      <c r="D19" s="6">
        <v>115</v>
      </c>
      <c r="E19" s="6">
        <v>362</v>
      </c>
      <c r="F19" s="6">
        <v>0.9</v>
      </c>
      <c r="G19" s="7">
        <f t="shared" si="0"/>
        <v>90.551181102362193</v>
      </c>
      <c r="H19" s="7">
        <f t="shared" si="1"/>
        <v>3.1478260869565218</v>
      </c>
    </row>
    <row r="20" spans="1:8">
      <c r="A20" s="4">
        <v>46041</v>
      </c>
      <c r="B20" s="5" t="s">
        <v>7</v>
      </c>
      <c r="C20" s="6">
        <v>141</v>
      </c>
      <c r="D20" s="6">
        <v>129</v>
      </c>
      <c r="E20" s="6">
        <v>415</v>
      </c>
      <c r="F20" s="6">
        <v>1.2</v>
      </c>
      <c r="G20" s="7">
        <f t="shared" si="0"/>
        <v>91.489361702127653</v>
      </c>
      <c r="H20" s="7">
        <f t="shared" si="1"/>
        <v>3.2170542635658914</v>
      </c>
    </row>
    <row r="21" spans="1:8">
      <c r="A21" s="4">
        <v>46042</v>
      </c>
      <c r="B21" s="5" t="s">
        <v>7</v>
      </c>
      <c r="C21" s="6">
        <v>146</v>
      </c>
      <c r="D21" s="6">
        <v>134</v>
      </c>
      <c r="E21" s="6">
        <v>422</v>
      </c>
      <c r="F21" s="6">
        <v>0.8</v>
      </c>
      <c r="G21" s="7">
        <f t="shared" si="0"/>
        <v>91.780821917808225</v>
      </c>
      <c r="H21" s="7">
        <f t="shared" si="1"/>
        <v>3.1492537313432836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sheetPr>
    <tabColor rgb="FF002060"/>
  </sheetPr>
  <dimension ref="A1:G34"/>
  <sheetViews>
    <sheetView topLeftCell="A22" zoomScale="90" zoomScaleNormal="90" workbookViewId="0">
      <selection activeCell="A27" sqref="A27:E28"/>
    </sheetView>
  </sheetViews>
  <sheetFormatPr defaultRowHeight="15"/>
  <cols>
    <col min="1" max="1" width="30.140625" style="3" customWidth="1"/>
    <col min="2" max="2" width="22.85546875" style="3" customWidth="1"/>
    <col min="3" max="16384" width="9.140625" style="3"/>
  </cols>
  <sheetData>
    <row r="1" spans="1:2" s="26" customFormat="1" ht="22.5">
      <c r="A1" s="26" t="s">
        <v>15</v>
      </c>
    </row>
    <row r="2" spans="1:2" s="8" customFormat="1"/>
    <row r="3" spans="1:2" s="8" customFormat="1" ht="28.5">
      <c r="A3" s="18" t="s">
        <v>30</v>
      </c>
      <c r="B3" s="18" t="s">
        <v>31</v>
      </c>
    </row>
    <row r="4" spans="1:2" s="8" customFormat="1">
      <c r="A4" s="10" t="s">
        <v>9</v>
      </c>
      <c r="B4" s="10">
        <f>SUM(PlantData[Feed (tonnes)])</f>
        <v>2649</v>
      </c>
    </row>
    <row r="5" spans="1:2" s="8" customFormat="1">
      <c r="A5" s="10" t="s">
        <v>10</v>
      </c>
      <c r="B5" s="10">
        <f>SUM(PlantData[Product (tonnes)])</f>
        <v>2408</v>
      </c>
    </row>
    <row r="6" spans="1:2" s="8" customFormat="1">
      <c r="A6" s="10" t="s">
        <v>11</v>
      </c>
      <c r="B6" s="11">
        <f>AVERAGE(PlantData[Yield (%)])</f>
        <v>90.851774896130749</v>
      </c>
    </row>
    <row r="7" spans="1:2" s="8" customFormat="1">
      <c r="A7" s="10" t="s">
        <v>12</v>
      </c>
      <c r="B7" s="10">
        <f>SUM(PlantData[Energy (GJ)])</f>
        <v>7684</v>
      </c>
    </row>
    <row r="8" spans="1:2" s="8" customFormat="1">
      <c r="A8" s="10" t="s">
        <v>13</v>
      </c>
      <c r="B8" s="12">
        <f>AVERAGE(PlantData[Energy Intensity (GJ/t)])</f>
        <v>3.1940097362227515</v>
      </c>
    </row>
    <row r="9" spans="1:2">
      <c r="A9" s="10" t="s">
        <v>14</v>
      </c>
      <c r="B9" s="10">
        <f>SUM(PlantData[Downtime (hours)])</f>
        <v>23.299999999999997</v>
      </c>
    </row>
    <row r="11" spans="1:2" s="29" customFormat="1" ht="22.5" customHeight="1">
      <c r="A11" s="27" t="s">
        <v>27</v>
      </c>
      <c r="B11" s="28"/>
    </row>
    <row r="12" spans="1:2" ht="29.25" customHeight="1">
      <c r="A12" s="30" t="s">
        <v>26</v>
      </c>
      <c r="B12" s="30"/>
    </row>
    <row r="13" spans="1:2">
      <c r="A13" s="16" t="s">
        <v>1</v>
      </c>
      <c r="B13" s="17" t="s">
        <v>25</v>
      </c>
    </row>
    <row r="14" spans="1:2">
      <c r="A14" s="14" t="s">
        <v>6</v>
      </c>
      <c r="B14" s="15">
        <v>90.22</v>
      </c>
    </row>
    <row r="15" spans="1:2">
      <c r="A15" s="14" t="s">
        <v>7</v>
      </c>
      <c r="B15" s="15">
        <v>91.48</v>
      </c>
    </row>
    <row r="19" spans="1:7" ht="29.25" customHeight="1">
      <c r="A19" s="31" t="s">
        <v>28</v>
      </c>
      <c r="B19" s="31"/>
    </row>
    <row r="20" spans="1:7" ht="28.5">
      <c r="A20" s="13" t="s">
        <v>1</v>
      </c>
      <c r="B20" s="13" t="s">
        <v>29</v>
      </c>
    </row>
    <row r="21" spans="1:7">
      <c r="A21" s="14" t="s">
        <v>6</v>
      </c>
      <c r="B21" s="15">
        <v>3.22</v>
      </c>
    </row>
    <row r="22" spans="1:7">
      <c r="A22" s="14" t="s">
        <v>7</v>
      </c>
      <c r="B22" s="15">
        <v>3.17</v>
      </c>
    </row>
    <row r="25" spans="1:7" ht="22.5" customHeight="1">
      <c r="A25" s="33" t="s">
        <v>32</v>
      </c>
      <c r="B25" s="34"/>
      <c r="C25" s="34"/>
      <c r="D25" s="34"/>
      <c r="E25" s="34"/>
    </row>
    <row r="26" spans="1:7" ht="114" customHeight="1">
      <c r="A26" s="32" t="s">
        <v>33</v>
      </c>
      <c r="B26" s="32"/>
      <c r="C26" s="32"/>
      <c r="D26" s="32"/>
      <c r="E26" s="32"/>
    </row>
    <row r="27" spans="1:7">
      <c r="A27" s="35" t="s">
        <v>34</v>
      </c>
      <c r="B27" s="35"/>
      <c r="C27" s="35"/>
      <c r="D27" s="35"/>
      <c r="E27" s="35"/>
    </row>
    <row r="28" spans="1:7" ht="42.75" customHeight="1">
      <c r="A28" s="35"/>
      <c r="B28" s="35"/>
      <c r="C28" s="35"/>
      <c r="D28" s="35"/>
      <c r="E28" s="35"/>
    </row>
    <row r="30" spans="1:7" ht="20.25">
      <c r="A30" s="33" t="s">
        <v>37</v>
      </c>
      <c r="B30" s="34"/>
      <c r="C30" s="34"/>
      <c r="D30" s="34"/>
      <c r="E30" s="34"/>
    </row>
    <row r="31" spans="1:7" ht="144.75" customHeight="1">
      <c r="A31" s="36" t="s">
        <v>35</v>
      </c>
      <c r="B31" s="37"/>
      <c r="C31" s="37"/>
      <c r="D31" s="37"/>
      <c r="E31" s="37"/>
      <c r="G31" s="19"/>
    </row>
    <row r="33" spans="1:5" ht="20.25">
      <c r="A33" s="33" t="s">
        <v>36</v>
      </c>
      <c r="B33" s="34"/>
      <c r="C33" s="34"/>
      <c r="D33" s="34"/>
      <c r="E33" s="34"/>
    </row>
    <row r="34" spans="1:5" ht="123" customHeight="1">
      <c r="A34" s="36" t="s">
        <v>38</v>
      </c>
      <c r="B34" s="37"/>
      <c r="C34" s="37"/>
      <c r="D34" s="37"/>
      <c r="E34" s="37"/>
    </row>
  </sheetData>
  <mergeCells count="11">
    <mergeCell ref="A27:E28"/>
    <mergeCell ref="A30:E30"/>
    <mergeCell ref="A31:E31"/>
    <mergeCell ref="A33:E33"/>
    <mergeCell ref="A34:E34"/>
    <mergeCell ref="A1:XFD1"/>
    <mergeCell ref="A11:XFD11"/>
    <mergeCell ref="A12:B12"/>
    <mergeCell ref="A19:B19"/>
    <mergeCell ref="A26:E26"/>
    <mergeCell ref="A25:E2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sheetPr>
    <tabColor rgb="FFFFC000"/>
  </sheetPr>
  <dimension ref="A2:F7"/>
  <sheetViews>
    <sheetView workbookViewId="0">
      <selection activeCell="D18" sqref="D18"/>
    </sheetView>
  </sheetViews>
  <sheetFormatPr defaultRowHeight="15"/>
  <cols>
    <col min="1" max="1" width="15.28515625" style="3" customWidth="1"/>
    <col min="2" max="2" width="22.85546875" style="3" customWidth="1"/>
    <col min="3" max="3" width="26.140625" style="3" customWidth="1"/>
    <col min="4" max="4" width="20.5703125" style="3" customWidth="1"/>
    <col min="5" max="5" width="24.5703125" style="3" customWidth="1"/>
    <col min="6" max="6" width="36.42578125" style="3" customWidth="1"/>
    <col min="7" max="16384" width="9.140625" style="3"/>
  </cols>
  <sheetData>
    <row r="2" spans="1:6" s="39" customFormat="1" ht="45.75" customHeight="1">
      <c r="A2" s="38" t="s">
        <v>39</v>
      </c>
    </row>
    <row r="3" spans="1:6">
      <c r="B3" s="20" t="s">
        <v>20</v>
      </c>
    </row>
    <row r="4" spans="1:6">
      <c r="A4" s="21" t="s">
        <v>17</v>
      </c>
      <c r="B4" s="22" t="s">
        <v>19</v>
      </c>
      <c r="C4" s="22" t="s">
        <v>21</v>
      </c>
      <c r="D4" s="22" t="s">
        <v>22</v>
      </c>
      <c r="E4" s="22" t="s">
        <v>23</v>
      </c>
      <c r="F4" s="22" t="s">
        <v>24</v>
      </c>
    </row>
    <row r="5" spans="1:6">
      <c r="A5" s="23" t="s">
        <v>6</v>
      </c>
      <c r="B5" s="24">
        <v>1239</v>
      </c>
      <c r="C5" s="24">
        <v>1118</v>
      </c>
      <c r="D5" s="24">
        <v>3597</v>
      </c>
      <c r="E5" s="25">
        <v>90.220713465318653</v>
      </c>
      <c r="F5" s="25">
        <v>3.2192192185499615</v>
      </c>
    </row>
    <row r="6" spans="1:6">
      <c r="A6" s="23" t="s">
        <v>7</v>
      </c>
      <c r="B6" s="24">
        <v>1410</v>
      </c>
      <c r="C6" s="24">
        <v>1290</v>
      </c>
      <c r="D6" s="24">
        <v>4087</v>
      </c>
      <c r="E6" s="25">
        <v>91.482836326942873</v>
      </c>
      <c r="F6" s="25">
        <v>3.1688002538955429</v>
      </c>
    </row>
    <row r="7" spans="1:6">
      <c r="A7" s="23" t="s">
        <v>18</v>
      </c>
      <c r="B7" s="24">
        <v>2649</v>
      </c>
      <c r="C7" s="24">
        <v>2408</v>
      </c>
      <c r="D7" s="24">
        <v>7684</v>
      </c>
      <c r="E7" s="25">
        <v>90.851774896130749</v>
      </c>
      <c r="F7" s="25">
        <v>3.1940097362227524</v>
      </c>
    </row>
  </sheetData>
  <mergeCells count="1">
    <mergeCell ref="A2:XFD2"/>
  </mergeCell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Production_Data</vt:lpstr>
      <vt:lpstr>Analysis</vt:lpstr>
      <vt:lpstr>Unit_Performance_Summary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2026-10-04T17:34:19Z</dcterms:modified>
</cp:coreProperties>
</file>